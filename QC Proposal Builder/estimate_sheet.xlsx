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carpus\Documents\QC Proposal stuff\QC Proposal Builder\"/>
    </mc:Choice>
  </mc:AlternateContent>
  <xr:revisionPtr revIDLastSave="0" documentId="13_ncr:1_{F1EED6D9-250B-4249-BF14-F740FA4D0144}" xr6:coauthVersionLast="45" xr6:coauthVersionMax="45" xr10:uidLastSave="{00000000-0000-0000-0000-000000000000}"/>
  <bookViews>
    <workbookView xWindow="-120" yWindow="-120" windowWidth="20730" windowHeight="11160" xr2:uid="{2DF8E55C-EBBD-4E15-82FD-E003F8178BED}"/>
  </bookViews>
  <sheets>
    <sheet name="Estimate" sheetId="1" r:id="rId1"/>
    <sheet name="Unit Cost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1" l="1"/>
  <c r="E9" i="1" s="1"/>
  <c r="D12" i="1" l="1"/>
  <c r="E12" i="1" s="1"/>
  <c r="D3" i="1"/>
  <c r="E3" i="1" s="1"/>
  <c r="D19" i="1" l="1"/>
  <c r="E19" i="1" s="1"/>
  <c r="D18" i="1"/>
  <c r="E18" i="1" s="1"/>
  <c r="D16" i="1"/>
  <c r="E16" i="1" s="1"/>
  <c r="D17" i="1"/>
  <c r="E17" i="1" s="1"/>
  <c r="D15" i="1"/>
  <c r="E15" i="1" s="1"/>
  <c r="D11" i="1"/>
  <c r="E11" i="1" s="1"/>
  <c r="D10" i="1"/>
  <c r="E10" i="1" s="1"/>
  <c r="D14" i="1"/>
  <c r="E14" i="1" s="1"/>
  <c r="D4" i="1"/>
  <c r="E4" i="1" s="1"/>
  <c r="D5" i="1"/>
  <c r="E5" i="1" s="1"/>
  <c r="D6" i="1"/>
  <c r="E6" i="1" s="1"/>
  <c r="D7" i="1"/>
  <c r="E7" i="1" s="1"/>
  <c r="D8" i="1" l="1"/>
  <c r="E8" i="1" s="1"/>
  <c r="D13" i="1"/>
  <c r="E13" i="1" s="1"/>
  <c r="D2" i="1"/>
  <c r="E2" i="1" s="1"/>
  <c r="E20" i="1" l="1"/>
</calcChain>
</file>

<file path=xl/sharedStrings.xml><?xml version="1.0" encoding="utf-8"?>
<sst xmlns="http://schemas.openxmlformats.org/spreadsheetml/2006/main" count="46" uniqueCount="27">
  <si>
    <t>Work Item</t>
  </si>
  <si>
    <t>Quantity</t>
  </si>
  <si>
    <t>Unit Price</t>
  </si>
  <si>
    <t>Total Price</t>
  </si>
  <si>
    <t>Full Day</t>
  </si>
  <si>
    <t>Half Day</t>
  </si>
  <si>
    <t>Overtime Hour</t>
  </si>
  <si>
    <t>Unit Cost</t>
  </si>
  <si>
    <t>Total</t>
  </si>
  <si>
    <t>Unit</t>
  </si>
  <si>
    <t>Concrete Cylinder</t>
  </si>
  <si>
    <t>Grout Specimen</t>
  </si>
  <si>
    <t>Cylinder Pick-up</t>
  </si>
  <si>
    <t>Mortar Proportions</t>
  </si>
  <si>
    <t>Modified Proctor</t>
  </si>
  <si>
    <t>Sieve Analysis</t>
  </si>
  <si>
    <t>Asphalt Paving</t>
  </si>
  <si>
    <t>Earthwork/grading</t>
  </si>
  <si>
    <t>Utilities</t>
  </si>
  <si>
    <t>Structural Steel</t>
  </si>
  <si>
    <t>Masonry</t>
  </si>
  <si>
    <t>Site Concrete</t>
  </si>
  <si>
    <t>Laboratory</t>
  </si>
  <si>
    <t>Proofroll</t>
  </si>
  <si>
    <t>Aggregate Base</t>
  </si>
  <si>
    <t>Foundations/undercuts</t>
  </si>
  <si>
    <t>Floor Slab/slab on deck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</si>
</sst>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4"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F2B4D2-6BA5-4809-AB2C-549020A929A0}" name="Estimate" displayName="Estimate" ref="A1:E20" totalsRowCount="1">
  <autoFilter ref="A1:E19" xr:uid="{118392D9-AD47-46D3-8854-FF1010CA3313}"/>
  <tableColumns count="5">
    <tableColumn id="1" xr3:uid="{841F187A-56E1-4D43-9207-672403586D68}" name="Work Item" totalsRowLabel="Total"/>
    <tableColumn id="2" xr3:uid="{799C0CC9-1ECD-4770-9073-CE652BF109FE}" name="Unit"/>
    <tableColumn id="3" xr3:uid="{97AD6A8E-6273-4BBF-B44E-0E605C5D0B52}" name="Quantity"/>
    <tableColumn id="4" xr3:uid="{5370B71F-3527-46E5-B074-6C215F799E20}" name="Unit Price" dataDxfId="3" totalsRowDxfId="1">
      <calculatedColumnFormula>VLOOKUP(Estimate[[#This Row],[Unit]], Dropdown[],2,0)</calculatedColumnFormula>
    </tableColumn>
    <tableColumn id="5" xr3:uid="{883BAF7B-CCFF-4968-AD80-9673B226E3B7}" name="Total Price" totalsRowFunction="sum" dataDxfId="2" totalsRowDxfId="0">
      <calculatedColumnFormula>Estimate[Quantity]*Estimate[Unit Price]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D79E48-D8F7-4E02-B12C-7FA458EF0570}" name="Dropdown" displayName="Dropdown" ref="A1:B10" totalsRowShown="0">
  <autoFilter ref="A1:B10" xr:uid="{DB3E9ED4-512C-4E7B-A48B-711D24BE4E2B}"/>
  <sortState xmlns:xlrd2="http://schemas.microsoft.com/office/spreadsheetml/2017/richdata2" ref="A2:B9">
    <sortCondition ref="A1:A9"/>
  </sortState>
  <tableColumns count="2">
    <tableColumn id="1" xr3:uid="{2E36FEF3-6FAF-47DB-BF06-8CB467584E6A}" name="Unit"/>
    <tableColumn id="2" xr3:uid="{76479A8E-D6B4-4DCA-A50A-7BD093F41A0E}" name="Unit C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F3E28-8655-4BA6-88AD-41DE2339AA56}">
  <dimension ref="A1:E20"/>
  <sheetViews>
    <sheetView tabSelected="1" workbookViewId="0">
      <selection activeCell="C17" sqref="C17"/>
    </sheetView>
  </sheetViews>
  <sheetFormatPr defaultRowHeight="15" x14ac:dyDescent="0.25"/>
  <cols>
    <col min="1" max="1" width="38.7109375" bestFit="1" customWidth="1"/>
    <col min="2" max="2" width="18.140625" bestFit="1" customWidth="1"/>
    <col min="3" max="3" width="10.85546875" customWidth="1"/>
    <col min="4" max="4" width="11.85546875" style="1" customWidth="1"/>
    <col min="5" max="5" width="12.42578125" style="1" customWidth="1"/>
    <col min="7" max="7" width="18.140625" bestFit="1" customWidth="1"/>
    <col min="8" max="8" width="11.42578125" bestFit="1" customWidth="1"/>
  </cols>
  <sheetData>
    <row r="1" spans="1:5" x14ac:dyDescent="0.25">
      <c r="A1" t="s">
        <v>0</v>
      </c>
      <c r="B1" t="s">
        <v>9</v>
      </c>
      <c r="C1" t="s">
        <v>1</v>
      </c>
      <c r="D1" s="1" t="s">
        <v>2</v>
      </c>
      <c r="E1" s="1" t="s">
        <v>3</v>
      </c>
    </row>
    <row r="2" spans="1:5" x14ac:dyDescent="0.25">
      <c r="A2" t="s">
        <v>17</v>
      </c>
      <c r="B2" t="s">
        <v>4</v>
      </c>
      <c r="C2">
        <v>8</v>
      </c>
      <c r="D2" s="1">
        <f>VLOOKUP(Estimate[[#This Row],[Unit]], Dropdown[],2,0)</f>
        <v>650</v>
      </c>
      <c r="E2" s="1">
        <f>Estimate[Quantity]*Estimate[Unit Price]</f>
        <v>5200</v>
      </c>
    </row>
    <row r="3" spans="1:5" x14ac:dyDescent="0.25">
      <c r="A3" t="s">
        <v>23</v>
      </c>
      <c r="B3" t="s">
        <v>5</v>
      </c>
      <c r="C3">
        <v>3</v>
      </c>
      <c r="D3" s="1">
        <f>VLOOKUP(Estimate[[#This Row],[Unit]], Dropdown[],2,0)</f>
        <v>400</v>
      </c>
      <c r="E3" s="1">
        <f>Estimate[Quantity]*Estimate[Unit Price]</f>
        <v>1200</v>
      </c>
    </row>
    <row r="4" spans="1:5" x14ac:dyDescent="0.25">
      <c r="A4" t="s">
        <v>18</v>
      </c>
      <c r="B4" t="s">
        <v>4</v>
      </c>
      <c r="C4">
        <v>6</v>
      </c>
      <c r="D4" s="1">
        <f>VLOOKUP(Estimate[[#This Row],[Unit]], Dropdown[],2,0)</f>
        <v>650</v>
      </c>
      <c r="E4" s="1">
        <f>Estimate[Quantity]*Estimate[Unit Price]</f>
        <v>3900</v>
      </c>
    </row>
    <row r="5" spans="1:5" x14ac:dyDescent="0.25">
      <c r="A5" t="s">
        <v>25</v>
      </c>
      <c r="B5" t="s">
        <v>4</v>
      </c>
      <c r="C5">
        <v>4</v>
      </c>
      <c r="D5" s="1">
        <f>VLOOKUP(Estimate[[#This Row],[Unit]], Dropdown[],2,0)</f>
        <v>650</v>
      </c>
      <c r="E5" s="1">
        <f>Estimate[Quantity]*Estimate[Unit Price]</f>
        <v>2600</v>
      </c>
    </row>
    <row r="6" spans="1:5" x14ac:dyDescent="0.25">
      <c r="B6" t="s">
        <v>5</v>
      </c>
      <c r="C6">
        <v>2</v>
      </c>
      <c r="D6" s="1">
        <f>VLOOKUP(Estimate[[#This Row],[Unit]], Dropdown[],2,0)</f>
        <v>400</v>
      </c>
      <c r="E6" s="1">
        <f>Estimate[Quantity]*Estimate[Unit Price]</f>
        <v>800</v>
      </c>
    </row>
    <row r="7" spans="1:5" x14ac:dyDescent="0.25">
      <c r="A7" t="s">
        <v>19</v>
      </c>
      <c r="B7" t="s">
        <v>5</v>
      </c>
      <c r="C7">
        <v>1</v>
      </c>
      <c r="D7" s="1">
        <f>VLOOKUP(Estimate[[#This Row],[Unit]], Dropdown[],2,0)</f>
        <v>400</v>
      </c>
      <c r="E7" s="1">
        <f>Estimate[Quantity]*Estimate[Unit Price]</f>
        <v>400</v>
      </c>
    </row>
    <row r="8" spans="1:5" x14ac:dyDescent="0.25">
      <c r="A8" t="s">
        <v>20</v>
      </c>
      <c r="B8" t="s">
        <v>5</v>
      </c>
      <c r="C8">
        <v>1</v>
      </c>
      <c r="D8" s="1">
        <f>VLOOKUP(Estimate[[#This Row],[Unit]], Dropdown[],2,0)</f>
        <v>400</v>
      </c>
      <c r="E8" s="1">
        <f>Estimate[Quantity]*Estimate[Unit Price]</f>
        <v>400</v>
      </c>
    </row>
    <row r="9" spans="1:5" x14ac:dyDescent="0.25">
      <c r="A9" t="s">
        <v>26</v>
      </c>
      <c r="B9" t="s">
        <v>4</v>
      </c>
      <c r="C9">
        <v>2</v>
      </c>
      <c r="D9" s="1">
        <f>VLOOKUP(Estimate[[#This Row],[Unit]], Dropdown[],2,0)</f>
        <v>650</v>
      </c>
      <c r="E9" s="1">
        <f>Estimate[Quantity]*Estimate[Unit Price]</f>
        <v>1300</v>
      </c>
    </row>
    <row r="10" spans="1:5" x14ac:dyDescent="0.25">
      <c r="A10" t="s">
        <v>21</v>
      </c>
      <c r="B10" t="s">
        <v>4</v>
      </c>
      <c r="C10">
        <v>4</v>
      </c>
      <c r="D10" s="1">
        <f>VLOOKUP(Estimate[[#This Row],[Unit]], Dropdown[],2,0)</f>
        <v>650</v>
      </c>
      <c r="E10" s="1">
        <f>Estimate[Quantity]*Estimate[Unit Price]</f>
        <v>2600</v>
      </c>
    </row>
    <row r="11" spans="1:5" x14ac:dyDescent="0.25">
      <c r="B11" t="s">
        <v>5</v>
      </c>
      <c r="C11">
        <v>4</v>
      </c>
      <c r="D11" s="1">
        <f>VLOOKUP(Estimate[[#This Row],[Unit]], Dropdown[],2,0)</f>
        <v>400</v>
      </c>
      <c r="E11" s="1">
        <f>Estimate[Quantity]*Estimate[Unit Price]</f>
        <v>1600</v>
      </c>
    </row>
    <row r="12" spans="1:5" x14ac:dyDescent="0.25">
      <c r="A12" t="s">
        <v>24</v>
      </c>
      <c r="B12" t="s">
        <v>5</v>
      </c>
      <c r="C12">
        <v>2</v>
      </c>
      <c r="D12" s="1">
        <f>VLOOKUP(Estimate[[#This Row],[Unit]], Dropdown[],2,0)</f>
        <v>400</v>
      </c>
      <c r="E12" s="1">
        <f>Estimate[Quantity]*Estimate[Unit Price]</f>
        <v>800</v>
      </c>
    </row>
    <row r="13" spans="1:5" x14ac:dyDescent="0.25">
      <c r="A13" t="s">
        <v>16</v>
      </c>
      <c r="B13" t="s">
        <v>4</v>
      </c>
      <c r="C13">
        <v>6</v>
      </c>
      <c r="D13" s="1">
        <f>VLOOKUP(Estimate[[#This Row],[Unit]], Dropdown[],2,0)</f>
        <v>650</v>
      </c>
      <c r="E13" s="1">
        <f>Estimate[Quantity]*Estimate[Unit Price]</f>
        <v>3900</v>
      </c>
    </row>
    <row r="14" spans="1:5" x14ac:dyDescent="0.25">
      <c r="B14" t="s">
        <v>6</v>
      </c>
      <c r="C14">
        <v>12</v>
      </c>
      <c r="D14" s="1">
        <f>VLOOKUP(Estimate[[#This Row],[Unit]], Dropdown[],2,0)</f>
        <v>95</v>
      </c>
      <c r="E14" s="1">
        <f>Estimate[Quantity]*Estimate[Unit Price]</f>
        <v>1140</v>
      </c>
    </row>
    <row r="15" spans="1:5" x14ac:dyDescent="0.25">
      <c r="A15" t="s">
        <v>22</v>
      </c>
      <c r="B15" t="s">
        <v>10</v>
      </c>
      <c r="C15">
        <v>115</v>
      </c>
      <c r="D15" s="1">
        <f>VLOOKUP(Estimate[[#This Row],[Unit]], Dropdown[],2,0)</f>
        <v>14</v>
      </c>
      <c r="E15" s="1">
        <f>Estimate[Quantity]*Estimate[Unit Price]</f>
        <v>1610</v>
      </c>
    </row>
    <row r="16" spans="1:5" x14ac:dyDescent="0.25">
      <c r="B16" t="s">
        <v>12</v>
      </c>
      <c r="C16">
        <v>10</v>
      </c>
      <c r="D16" s="1">
        <f>VLOOKUP(Estimate[[#This Row],[Unit]], Dropdown[],2,0)</f>
        <v>90</v>
      </c>
      <c r="E16" s="1">
        <f>Estimate[Quantity]*Estimate[Unit Price]</f>
        <v>900</v>
      </c>
    </row>
    <row r="17" spans="1:5" x14ac:dyDescent="0.25">
      <c r="B17" t="s">
        <v>11</v>
      </c>
      <c r="C17">
        <v>4</v>
      </c>
      <c r="D17" s="1">
        <f>VLOOKUP(Estimate[[#This Row],[Unit]], Dropdown[],2,0)</f>
        <v>25</v>
      </c>
      <c r="E17" s="1">
        <f>Estimate[Quantity]*Estimate[Unit Price]</f>
        <v>100</v>
      </c>
    </row>
    <row r="18" spans="1:5" x14ac:dyDescent="0.25">
      <c r="B18" t="s">
        <v>13</v>
      </c>
      <c r="C18">
        <v>1</v>
      </c>
      <c r="D18" s="1">
        <f>VLOOKUP(Estimate[[#This Row],[Unit]], Dropdown[],2,0)</f>
        <v>275</v>
      </c>
      <c r="E18" s="1">
        <f>Estimate[Quantity]*Estimate[Unit Price]</f>
        <v>275</v>
      </c>
    </row>
    <row r="19" spans="1:5" x14ac:dyDescent="0.25">
      <c r="B19" t="s">
        <v>14</v>
      </c>
      <c r="C19">
        <v>2</v>
      </c>
      <c r="D19" s="1">
        <f>VLOOKUP(Estimate[[#This Row],[Unit]], Dropdown[],2,0)</f>
        <v>225</v>
      </c>
      <c r="E19" s="1">
        <f>Estimate[Quantity]*Estimate[Unit Price]</f>
        <v>450</v>
      </c>
    </row>
    <row r="20" spans="1:5" x14ac:dyDescent="0.25">
      <c r="A20" t="s">
        <v>8</v>
      </c>
      <c r="E20" s="1">
        <f>SUBTOTAL(109,Estimate[Total Price])</f>
        <v>29175</v>
      </c>
    </row>
  </sheetData>
  <dataValidations count="1">
    <dataValidation type="whole" operator="greaterThanOrEqual" allowBlank="1" showInputMessage="1" showErrorMessage="1" sqref="C2:C19" xr:uid="{6C05A889-12B5-4039-97CE-57AA45109086}">
      <formula1>0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11136A0-305F-4BB2-8F09-ABE789415F0D}">
          <x14:formula1>
            <xm:f>'Unit Costs'!$A$2:$A$10</xm:f>
          </x14:formula1>
          <xm:sqref>B2:B19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E163D-84E8-4A0C-B2A7-762F90904803}">
  <dimension ref="A1:B10"/>
  <sheetViews>
    <sheetView workbookViewId="0">
      <selection activeCell="B11" sqref="B11"/>
    </sheetView>
  </sheetViews>
  <sheetFormatPr defaultRowHeight="15" x14ac:dyDescent="0.25"/>
  <cols>
    <col min="1" max="1" width="18.140625" bestFit="1" customWidth="1"/>
    <col min="2" max="2" width="11.42578125" bestFit="1" customWidth="1"/>
  </cols>
  <sheetData>
    <row r="1" spans="1:2" x14ac:dyDescent="0.25">
      <c r="A1" t="s">
        <v>9</v>
      </c>
      <c r="B1" t="s">
        <v>7</v>
      </c>
    </row>
    <row r="2" spans="1:2" x14ac:dyDescent="0.25">
      <c r="A2" t="s">
        <v>10</v>
      </c>
      <c r="B2">
        <v>14</v>
      </c>
    </row>
    <row r="3" spans="1:2" x14ac:dyDescent="0.25">
      <c r="A3" t="s">
        <v>12</v>
      </c>
      <c r="B3">
        <v>90</v>
      </c>
    </row>
    <row r="4" spans="1:2" x14ac:dyDescent="0.25">
      <c r="A4" t="s">
        <v>4</v>
      </c>
      <c r="B4">
        <v>650</v>
      </c>
    </row>
    <row r="5" spans="1:2" x14ac:dyDescent="0.25">
      <c r="A5" t="s">
        <v>11</v>
      </c>
      <c r="B5">
        <v>25</v>
      </c>
    </row>
    <row r="6" spans="1:2" x14ac:dyDescent="0.25">
      <c r="A6" t="s">
        <v>5</v>
      </c>
      <c r="B6">
        <v>400</v>
      </c>
    </row>
    <row r="7" spans="1:2" x14ac:dyDescent="0.25">
      <c r="A7" t="s">
        <v>14</v>
      </c>
      <c r="B7">
        <v>225</v>
      </c>
    </row>
    <row r="8" spans="1:2" x14ac:dyDescent="0.25">
      <c r="A8" t="s">
        <v>13</v>
      </c>
      <c r="B8">
        <v>275</v>
      </c>
    </row>
    <row r="9" spans="1:2" x14ac:dyDescent="0.25">
      <c r="A9" t="s">
        <v>6</v>
      </c>
      <c r="B9">
        <v>95</v>
      </c>
    </row>
    <row r="10" spans="1:2" x14ac:dyDescent="0.25">
      <c r="A10" t="s">
        <v>15</v>
      </c>
      <c r="B10">
        <v>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Estimate</vt:lpstr>
      <vt:lpstr>Unit Costs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Carpus</dc:creator>
  <cp:lastModifiedBy>Ryan Carpus</cp:lastModifiedBy>
  <dcterms:created xsi:type="dcterms:W3CDTF">2019-01-31T19:08:32Z</dcterms:created>
  <dcterms:modified xsi:type="dcterms:W3CDTF">2021-01-07T18:26:37Z</dcterms:modified>
</cp:coreProperties>
</file>